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Task Allocation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'Sprint Task Allocation'!$A$1:$L$16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8A9D6"/>
      </patternFill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5">
    <border>
      <left/>
      <right/>
      <top/>
      <bottom/>
      <diagonal/>
    </border>
    <border>
      <bottom style="medium">
        <color rgb="00404040"/>
      </bottom>
    </border>
    <border>
      <bottom style="thin">
        <color rgb="00BFBFBF"/>
      </bottom>
    </border>
    <border>
      <left/>
      <right/>
      <top/>
      <bottom style="thin">
        <color rgb="00BFBFBF"/>
      </bottom>
      <diagonal/>
    </border>
    <border>
      <top style="medium">
        <color rgb="00404040"/>
      </top>
      <bottom style="thin">
        <color rgb="00BFBFBF"/>
      </bottom>
    </border>
    <border>
      <top style="thin">
        <color rgb="00BFBFBF"/>
      </top>
      <bottom style="medium">
        <color rgb="00404040"/>
      </bottom>
    </border>
    <border>
      <top style="medium">
        <color rgb="00404040"/>
      </top>
      <bottom style="medium">
        <color rgb="0040404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medium">
        <color rgb="00404040"/>
      </top>
      <bottom/>
      <diagonal/>
    </border>
    <border>
      <left style="medium">
        <color rgb="00404040"/>
      </left>
      <right/>
      <top/>
      <bottom/>
      <diagonal/>
    </border>
    <border>
      <left/>
      <right style="medium">
        <color rgb="00404040"/>
      </right>
      <top style="medium">
        <color rgb="00404040"/>
      </top>
      <bottom/>
      <diagonal/>
    </border>
    <border>
      <left/>
      <right style="medium">
        <color rgb="00404040"/>
      </right>
      <top/>
      <bottom/>
      <diagonal/>
    </border>
    <border>
      <left style="medium">
        <color rgb="00404040"/>
      </left>
      <right/>
      <top/>
      <bottom style="medium">
        <color rgb="00404040"/>
      </bottom>
      <diagonal/>
    </border>
    <border>
      <left/>
      <right/>
      <top/>
      <bottom style="medium">
        <color rgb="00404040"/>
      </bottom>
      <diagonal/>
    </border>
    <border>
      <left/>
      <right style="medium">
        <color rgb="00404040"/>
      </right>
      <top/>
      <bottom style="medium">
        <color rgb="0040404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5" applyAlignment="1" pivotButton="0" quotePrefix="0" xfId="0">
      <alignment vertical="top" wrapText="1"/>
    </xf>
    <xf numFmtId="0" fontId="2" fillId="0" borderId="4" pivotButton="0" quotePrefix="0" xfId="0"/>
    <xf numFmtId="0" fontId="2" fillId="3" borderId="6" pivotButton="0" quotePrefix="0" xfId="0"/>
    <xf numFmtId="0" fontId="2" fillId="3" borderId="6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5" borderId="7" applyAlignment="1" pivotButton="0" quotePrefix="0" xfId="0">
      <alignment vertical="top" wrapText="1"/>
    </xf>
    <xf numFmtId="9" fontId="0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9" fontId="2" fillId="3" borderId="2" applyAlignment="1" pivotButton="0" quotePrefix="0" xfId="0">
      <alignment horizontal="center" vertical="center"/>
    </xf>
    <xf numFmtId="0" fontId="1" fillId="4" borderId="0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5" customWidth="1" min="3" max="3"/>
    <col width="42" customWidth="1" min="4" max="4"/>
    <col width="12" customWidth="1" min="5" max="5"/>
    <col width="65" customWidth="1" min="6" max="6"/>
    <col width="16" customWidth="1" min="7" max="7"/>
    <col width="15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30" customHeight="1">
      <c r="A1" s="1" t="inlineStr">
        <is>
          <t>Sr.No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Story</t>
        </is>
      </c>
      <c r="E1" s="1" t="inlineStr">
        <is>
          <t>Story Points</t>
        </is>
      </c>
      <c r="F1" s="1" t="inlineStr">
        <is>
          <t>Task</t>
        </is>
      </c>
      <c r="G1" s="1" t="inlineStr">
        <is>
          <t>Assignee</t>
        </is>
      </c>
      <c r="H1" s="1" t="inlineStr">
        <is>
          <t>Planned Hours</t>
        </is>
      </c>
      <c r="I1" s="1" t="inlineStr">
        <is>
          <t>Planned Days</t>
        </is>
      </c>
      <c r="J1" s="1" t="inlineStr">
        <is>
          <t>Start Date</t>
        </is>
      </c>
      <c r="K1" s="1" t="inlineStr">
        <is>
          <t>End Date</t>
        </is>
      </c>
      <c r="L1" s="1" t="inlineStr">
        <is>
          <t>Task Status</t>
        </is>
      </c>
    </row>
    <row r="2" ht="32" customHeight="1">
      <c r="A2" s="2" t="n">
        <v>1</v>
      </c>
      <c r="B2" s="3" t="inlineStr">
        <is>
          <t>MPDA-MRT: Member Retention Model Analytics: Tactical</t>
        </is>
      </c>
      <c r="C2" s="3" t="inlineStr">
        <is>
          <t>MPDA-MRT: 6.1 - Data Source &amp; Consumption Readiness</t>
        </is>
      </c>
      <c r="D2" s="3" t="inlineStr">
        <is>
          <t>Data Source &amp; Consumption Readiness</t>
        </is>
      </c>
      <c r="E2" s="2" t="n">
        <v>8</v>
      </c>
      <c r="F2" s="3" t="inlineStr">
        <is>
          <t>Review approved consumption data contract and source requirements</t>
        </is>
      </c>
      <c r="G2" s="3" t="inlineStr">
        <is>
          <t>Keerthi</t>
        </is>
      </c>
      <c r="H2" s="2" t="n">
        <v>8</v>
      </c>
      <c r="I2" s="2">
        <f>H2/8</f>
        <v/>
      </c>
      <c r="J2" s="3" t="inlineStr">
        <is>
          <t>22-Sep</t>
        </is>
      </c>
      <c r="K2" s="3" t="inlineStr">
        <is>
          <t>23-Sep</t>
        </is>
      </c>
      <c r="L2" s="3" t="inlineStr">
        <is>
          <t>In Progress</t>
        </is>
      </c>
    </row>
    <row r="3" ht="32" customHeight="1">
      <c r="A3" s="4" t="n">
        <v>2</v>
      </c>
      <c r="F3" s="6" t="inlineStr">
        <is>
          <t>Identify required Databricks consumption tables/views/outputs</t>
        </is>
      </c>
      <c r="G3" s="6" t="inlineStr">
        <is>
          <t>Tavneet</t>
        </is>
      </c>
      <c r="H3" s="4" t="n">
        <v>8</v>
      </c>
      <c r="I3" s="4">
        <f>H3/8</f>
        <v/>
      </c>
      <c r="J3" s="6" t="inlineStr">
        <is>
          <t>22-Sep</t>
        </is>
      </c>
      <c r="K3" s="6" t="inlineStr">
        <is>
          <t>23-Sep</t>
        </is>
      </c>
      <c r="L3" s="6" t="inlineStr">
        <is>
          <t>In Progress</t>
        </is>
      </c>
    </row>
    <row r="4" ht="32" customHeight="1">
      <c r="A4" s="4" t="n">
        <v>3</v>
      </c>
      <c r="F4" s="6" t="inlineStr">
        <is>
          <t>Perform source-to-requirement gap analysis</t>
        </is>
      </c>
      <c r="G4" s="6" t="inlineStr">
        <is>
          <t>Keerthi</t>
        </is>
      </c>
      <c r="H4" s="4" t="n">
        <v>8</v>
      </c>
      <c r="I4" s="4">
        <f>H4/8</f>
        <v/>
      </c>
      <c r="J4" s="6" t="inlineStr">
        <is>
          <t>24-Sep</t>
        </is>
      </c>
      <c r="K4" s="6" t="inlineStr">
        <is>
          <t>24-Sep</t>
        </is>
      </c>
      <c r="L4" s="6" t="inlineStr">
        <is>
          <t>Planned</t>
        </is>
      </c>
    </row>
    <row r="5" ht="32" customHeight="1">
      <c r="A5" s="4" t="n">
        <v>4</v>
      </c>
      <c r="F5" s="6" t="inlineStr">
        <is>
          <t>Validate required fields for customer, segment, risk and outcome reporting</t>
        </is>
      </c>
      <c r="G5" s="6" t="inlineStr">
        <is>
          <t>Keerthi</t>
        </is>
      </c>
      <c r="H5" s="4" t="n">
        <v>8</v>
      </c>
      <c r="I5" s="4">
        <f>H5/8</f>
        <v/>
      </c>
      <c r="J5" s="6" t="inlineStr">
        <is>
          <t>24-Sep</t>
        </is>
      </c>
      <c r="K5" s="6" t="inlineStr">
        <is>
          <t>25-Sep</t>
        </is>
      </c>
      <c r="L5" s="6" t="inlineStr">
        <is>
          <t>Planned</t>
        </is>
      </c>
    </row>
    <row r="6" ht="32" customHeight="1">
      <c r="A6" s="4" t="n">
        <v>5</v>
      </c>
      <c r="F6" s="6" t="inlineStr">
        <is>
          <t>Validate data availability and refresh frequency</t>
        </is>
      </c>
      <c r="G6" s="6" t="inlineStr">
        <is>
          <t>Tavneet</t>
        </is>
      </c>
      <c r="H6" s="4" t="n">
        <v>8</v>
      </c>
      <c r="I6" s="4">
        <f>H6/8</f>
        <v/>
      </c>
      <c r="J6" s="6" t="inlineStr">
        <is>
          <t>24-Sep</t>
        </is>
      </c>
      <c r="K6" s="6" t="inlineStr">
        <is>
          <t>25-Sep</t>
        </is>
      </c>
      <c r="L6" s="6" t="inlineStr">
        <is>
          <t>Planned</t>
        </is>
      </c>
    </row>
    <row r="7" ht="32" customHeight="1">
      <c r="A7" s="4" t="n">
        <v>6</v>
      </c>
      <c r="F7" s="6" t="inlineStr">
        <is>
          <t>Confirm source data quality and completeness</t>
        </is>
      </c>
      <c r="G7" s="6" t="inlineStr">
        <is>
          <t>Tavneet</t>
        </is>
      </c>
      <c r="H7" s="4" t="n">
        <v>8</v>
      </c>
      <c r="I7" s="4">
        <f>H7/8</f>
        <v/>
      </c>
      <c r="J7" s="6" t="inlineStr">
        <is>
          <t>25-Sep</t>
        </is>
      </c>
      <c r="K7" s="6" t="inlineStr">
        <is>
          <t>26-Sep</t>
        </is>
      </c>
      <c r="L7" s="6" t="inlineStr">
        <is>
          <t>Planned</t>
        </is>
      </c>
    </row>
    <row r="8" ht="32" customHeight="1">
      <c r="A8" s="4" t="n">
        <v>7</v>
      </c>
      <c r="F8" s="6" t="inlineStr">
        <is>
          <t>Document data source mapping and assumptions</t>
        </is>
      </c>
      <c r="G8" s="6" t="inlineStr">
        <is>
          <t>Keerthi</t>
        </is>
      </c>
      <c r="H8" s="4" t="n">
        <v>8</v>
      </c>
      <c r="I8" s="4">
        <f>H8/8</f>
        <v/>
      </c>
      <c r="J8" s="6" t="inlineStr">
        <is>
          <t>26-Sep</t>
        </is>
      </c>
      <c r="K8" s="6" t="inlineStr">
        <is>
          <t>26-Sep</t>
        </is>
      </c>
      <c r="L8" s="6" t="inlineStr">
        <is>
          <t>Planned</t>
        </is>
      </c>
    </row>
    <row r="9" ht="32" customHeight="1">
      <c r="A9" s="4" t="n">
        <v>8</v>
      </c>
      <c r="F9" s="6" t="inlineStr">
        <is>
          <t>Obtain confirmation on the approved consumption source</t>
        </is>
      </c>
      <c r="G9" s="6" t="inlineStr">
        <is>
          <t>Tavneet</t>
        </is>
      </c>
      <c r="H9" s="4" t="n">
        <v>8</v>
      </c>
      <c r="I9" s="4">
        <f>H9/8</f>
        <v/>
      </c>
      <c r="J9" s="6" t="inlineStr">
        <is>
          <t>29-Sep</t>
        </is>
      </c>
      <c r="K9" s="6" t="inlineStr">
        <is>
          <t>29-Sep</t>
        </is>
      </c>
      <c r="L9" s="6" t="inlineStr">
        <is>
          <t>Planned</t>
        </is>
      </c>
    </row>
    <row r="10" ht="32" customHeight="1">
      <c r="A10" s="4" t="n">
        <v>9</v>
      </c>
      <c r="F10" s="6" t="inlineStr">
        <is>
          <t>Identify data source mapping</t>
        </is>
      </c>
      <c r="G10" s="6" t="inlineStr">
        <is>
          <t>Keerthi</t>
        </is>
      </c>
      <c r="H10" s="4" t="n">
        <v>8</v>
      </c>
      <c r="I10" s="4">
        <f>H10/8</f>
        <v/>
      </c>
      <c r="J10" s="6" t="inlineStr">
        <is>
          <t>29-Sep</t>
        </is>
      </c>
      <c r="K10" s="6" t="inlineStr">
        <is>
          <t>30-Sep</t>
        </is>
      </c>
      <c r="L10" s="6" t="inlineStr">
        <is>
          <t>Planned</t>
        </is>
      </c>
    </row>
    <row r="11" ht="32" customHeight="1">
      <c r="A11" s="7" t="n">
        <v>10</v>
      </c>
      <c r="C11" s="23" t="n"/>
      <c r="D11" s="23" t="n"/>
      <c r="E11" s="23" t="n"/>
      <c r="F11" s="9" t="inlineStr">
        <is>
          <t>Review consumption data</t>
        </is>
      </c>
      <c r="G11" s="9" t="inlineStr">
        <is>
          <t>Tavneet</t>
        </is>
      </c>
      <c r="H11" s="7" t="n">
        <v>8</v>
      </c>
      <c r="I11" s="7">
        <f>H11/8</f>
        <v/>
      </c>
      <c r="J11" s="9" t="inlineStr">
        <is>
          <t>30-Sep</t>
        </is>
      </c>
      <c r="K11" s="9" t="inlineStr">
        <is>
          <t>30-Sep</t>
        </is>
      </c>
      <c r="L11" s="9" t="inlineStr">
        <is>
          <t>Planned</t>
        </is>
      </c>
    </row>
    <row r="12" ht="32" customHeight="1">
      <c r="A12" s="2" t="n">
        <v>11</v>
      </c>
      <c r="C12" s="3" t="inlineStr">
        <is>
          <t>RADM: Report Wireframes and Storyboards - Part B</t>
        </is>
      </c>
      <c r="D12" s="3" t="inlineStr">
        <is>
          <t>RADM: Report Wireframes and Storyboards - Part B</t>
        </is>
      </c>
      <c r="E12" s="2" t="n">
        <v>8</v>
      </c>
      <c r="F12" s="3" t="inlineStr">
        <is>
          <t>Changes in Behavioral Dashboard Mockup</t>
        </is>
      </c>
      <c r="G12" s="3" t="inlineStr">
        <is>
          <t>Keerthi</t>
        </is>
      </c>
      <c r="H12" s="2" t="n">
        <v>8</v>
      </c>
      <c r="I12" s="2">
        <f>H12/8</f>
        <v/>
      </c>
      <c r="J12" s="3" t="inlineStr">
        <is>
          <t>22-Sep</t>
        </is>
      </c>
      <c r="K12" s="3" t="inlineStr">
        <is>
          <t>23-Sep</t>
        </is>
      </c>
      <c r="L12" s="3" t="inlineStr">
        <is>
          <t>In Progress</t>
        </is>
      </c>
    </row>
    <row r="13" ht="32" customHeight="1">
      <c r="A13" s="4" t="n">
        <v>12</v>
      </c>
      <c r="F13" s="6" t="inlineStr">
        <is>
          <t>Changes in Retention Executive Summary Mockup</t>
        </is>
      </c>
      <c r="G13" s="6" t="inlineStr">
        <is>
          <t>Tavneet</t>
        </is>
      </c>
      <c r="H13" s="4" t="n">
        <v>8</v>
      </c>
      <c r="I13" s="4">
        <f>H13/8</f>
        <v/>
      </c>
      <c r="J13" s="6" t="inlineStr">
        <is>
          <t>22-Sep</t>
        </is>
      </c>
      <c r="K13" s="6" t="inlineStr">
        <is>
          <t>23-Sep</t>
        </is>
      </c>
      <c r="L13" s="6" t="inlineStr">
        <is>
          <t>In Progress</t>
        </is>
      </c>
    </row>
    <row r="14" ht="32" customHeight="1">
      <c r="A14" s="4" t="n">
        <v>13</v>
      </c>
      <c r="F14" s="6" t="inlineStr">
        <is>
          <t>Changes in Rollover Dashboard Mockup</t>
        </is>
      </c>
      <c r="G14" s="6" t="inlineStr">
        <is>
          <t>Keerthi</t>
        </is>
      </c>
      <c r="H14" s="4" t="n">
        <v>8</v>
      </c>
      <c r="I14" s="4">
        <f>H14/8</f>
        <v/>
      </c>
      <c r="J14" s="6" t="inlineStr">
        <is>
          <t>24-Sep</t>
        </is>
      </c>
      <c r="K14" s="6" t="inlineStr">
        <is>
          <t>25-Sep</t>
        </is>
      </c>
      <c r="L14" s="6" t="inlineStr">
        <is>
          <t>Planned</t>
        </is>
      </c>
    </row>
    <row r="15" ht="32" customHeight="1">
      <c r="A15" s="4" t="n">
        <v>14</v>
      </c>
      <c r="F15" s="6" t="inlineStr">
        <is>
          <t>Getting Sign Off on the Power BI Dashboard - Part B</t>
        </is>
      </c>
      <c r="G15" s="6" t="inlineStr">
        <is>
          <t>Tavneet</t>
        </is>
      </c>
      <c r="H15" s="4" t="n">
        <v>8</v>
      </c>
      <c r="I15" s="4">
        <f>H15/8</f>
        <v/>
      </c>
      <c r="J15" s="6" t="inlineStr">
        <is>
          <t>26-Sep</t>
        </is>
      </c>
      <c r="K15" s="6" t="inlineStr">
        <is>
          <t>29-Sep</t>
        </is>
      </c>
      <c r="L15" s="6" t="inlineStr">
        <is>
          <t>Planned</t>
        </is>
      </c>
    </row>
    <row r="16" ht="32" customHeight="1">
      <c r="A16" s="7" t="n">
        <v>15</v>
      </c>
      <c r="B16" s="23" t="n"/>
      <c r="C16" s="23" t="n"/>
      <c r="D16" s="23" t="n"/>
      <c r="E16" s="23" t="n"/>
      <c r="F16" s="9" t="inlineStr">
        <is>
          <t>Review - Changes in Retention Executive Summary Mockup</t>
        </is>
      </c>
      <c r="G16" s="9" t="inlineStr">
        <is>
          <t>Keerthi</t>
        </is>
      </c>
      <c r="H16" s="7" t="n">
        <v>8</v>
      </c>
      <c r="I16" s="7">
        <f>H16/8</f>
        <v/>
      </c>
      <c r="J16" s="9" t="inlineStr">
        <is>
          <t>30-Sep</t>
        </is>
      </c>
      <c r="K16" s="9" t="inlineStr">
        <is>
          <t>30-Sep</t>
        </is>
      </c>
      <c r="L16" s="9" t="inlineStr">
        <is>
          <t>Planned</t>
        </is>
      </c>
    </row>
    <row r="18">
      <c r="D18" s="11" t="inlineStr">
        <is>
          <t>Total Story Points</t>
        </is>
      </c>
      <c r="E18" s="12">
        <f>E2+E12</f>
        <v/>
      </c>
    </row>
    <row r="21">
      <c r="A21" s="13" t="inlineStr">
        <is>
          <t>Story-Level Summary – Story Points Remain at Story Level</t>
        </is>
      </c>
    </row>
    <row r="22">
      <c r="A22" s="14" t="inlineStr">
        <is>
          <t>Story</t>
        </is>
      </c>
      <c r="B22" s="14" t="inlineStr">
        <is>
          <t>Story Points</t>
        </is>
      </c>
      <c r="C22" s="14" t="inlineStr">
        <is>
          <t>Keerthi Hours</t>
        </is>
      </c>
      <c r="D22" s="14" t="inlineStr">
        <is>
          <t>Tavneet Hours</t>
        </is>
      </c>
      <c r="E22" s="14" t="inlineStr">
        <is>
          <t>Total Hours</t>
        </is>
      </c>
      <c r="F22" s="14" t="inlineStr">
        <is>
          <t>Total Days</t>
        </is>
      </c>
      <c r="G22" s="14" t="inlineStr">
        <is>
          <t>Allocation</t>
        </is>
      </c>
    </row>
    <row r="23">
      <c r="A23" s="15" t="inlineStr">
        <is>
          <t>Data Source &amp; Consumption Readiness</t>
        </is>
      </c>
      <c r="B23" s="15" t="n">
        <v>8</v>
      </c>
      <c r="C23" s="15">
        <f>SUMIFS($H$2:$H$16,$D$2:$D$16,A23,$G$2:$G$16,"Keerthi")</f>
        <v/>
      </c>
      <c r="D23" s="15">
        <f>SUMIFS($H$2:$H$16,$D$2:$D$16,A23,$G$2:$G$16,"Tavneet")</f>
        <v/>
      </c>
      <c r="E23" s="15">
        <f>C23+D23</f>
        <v/>
      </c>
      <c r="F23" s="16">
        <f>E23/8</f>
        <v/>
      </c>
      <c r="G23" s="15" t="inlineStr">
        <is>
          <t>Both</t>
        </is>
      </c>
    </row>
    <row r="24">
      <c r="A24" s="15" t="inlineStr">
        <is>
          <t>RADM: Report Wireframes and Storyboards - Part B</t>
        </is>
      </c>
      <c r="B24" s="15" t="n">
        <v>8</v>
      </c>
      <c r="C24" s="15">
        <f>SUMIFS($H$2:$H$16,$D$2:$D$16,A24,$G$2:$G$16,"Keerthi")</f>
        <v/>
      </c>
      <c r="D24" s="15">
        <f>SUMIFS($H$2:$H$16,$D$2:$D$16,A24,$G$2:$G$16,"Tavneet")</f>
        <v/>
      </c>
      <c r="E24" s="15">
        <f>C24+D24</f>
        <v/>
      </c>
      <c r="F24" s="16">
        <f>E24/8</f>
        <v/>
      </c>
      <c r="G24" s="15" t="inlineStr">
        <is>
          <t>Both</t>
        </is>
      </c>
    </row>
    <row r="25">
      <c r="A25" s="17" t="inlineStr">
        <is>
          <t>TOTAL</t>
        </is>
      </c>
      <c r="B25" s="17">
        <f>SUM(B23:B24)</f>
        <v/>
      </c>
      <c r="C25" s="17">
        <f>SUM(C23:C24)</f>
        <v/>
      </c>
      <c r="D25" s="17">
        <f>SUM(D23:D24)</f>
        <v/>
      </c>
      <c r="E25" s="17">
        <f>SUM(E23:E24)</f>
        <v/>
      </c>
      <c r="F25" s="17">
        <f>SUM(F23:F24)</f>
        <v/>
      </c>
      <c r="G25" s="17" t="inlineStr">
        <is>
          <t>Both</t>
        </is>
      </c>
    </row>
    <row r="27">
      <c r="A27" s="13" t="inlineStr">
        <is>
          <t>10-Day Sprint Capacity – 2 People</t>
        </is>
      </c>
      <c r="H27" s="18" t="inlineStr">
        <is>
          <t>How to use this sheet:
• Story 1 = 8 Story Points.
• Story 2 = 8 Story Points.
• Both stories can be worked on by both team members.
• Story Points remain at Story level; they are not split between people.
• Total sprint commitment = 16 Story Points.
• Tasks are used to track the actual person doing the work and planned hours/days.
• 10 sprint days = 8 delivery days + 2 meeting/ceremony days per person.
• Task-level time allocation is separate from Story Points.</t>
        </is>
      </c>
      <c r="I27" s="24" t="n"/>
      <c r="J27" s="24" t="n"/>
      <c r="K27" s="24" t="n"/>
      <c r="L27" s="25" t="n"/>
    </row>
    <row r="28">
      <c r="A28" s="14" t="inlineStr">
        <is>
          <t>Assignee</t>
        </is>
      </c>
      <c r="B28" s="14" t="inlineStr">
        <is>
          <t>Sprint Days</t>
        </is>
      </c>
      <c r="C28" s="14" t="inlineStr">
        <is>
          <t>Meeting/Ceremony Days</t>
        </is>
      </c>
      <c r="D28" s="14" t="inlineStr">
        <is>
          <t>Delivery Days</t>
        </is>
      </c>
      <c r="E28" s="14" t="inlineStr">
        <is>
          <t>Allocated Task Hours</t>
        </is>
      </c>
      <c r="F28" s="14" t="inlineStr">
        <is>
          <t>Capacity Check</t>
        </is>
      </c>
      <c r="H28" s="26" t="n"/>
      <c r="L28" s="27" t="n"/>
    </row>
    <row r="29">
      <c r="A29" s="4" t="inlineStr">
        <is>
          <t>Keerthi</t>
        </is>
      </c>
      <c r="B29" s="4" t="n">
        <v>10</v>
      </c>
      <c r="C29" s="4" t="n">
        <v>2</v>
      </c>
      <c r="D29" s="4" t="n">
        <v>8</v>
      </c>
      <c r="E29" s="4">
        <f>SUMIF($G$2:$G$16,A29,$H$2:$H$16)</f>
        <v/>
      </c>
      <c r="F29" s="19">
        <f>E29/(D29*8)</f>
        <v/>
      </c>
      <c r="H29" s="26" t="n"/>
      <c r="L29" s="27" t="n"/>
    </row>
    <row r="30">
      <c r="A30" s="4" t="inlineStr">
        <is>
          <t>Tavneet</t>
        </is>
      </c>
      <c r="B30" s="4" t="n">
        <v>10</v>
      </c>
      <c r="C30" s="4" t="n">
        <v>2</v>
      </c>
      <c r="D30" s="4" t="n">
        <v>8</v>
      </c>
      <c r="E30" s="4">
        <f>SUMIF($G$2:$G$16,A30,$H$2:$H$16)</f>
        <v/>
      </c>
      <c r="F30" s="19">
        <f>E30/(D30*8)</f>
        <v/>
      </c>
      <c r="H30" s="26" t="n"/>
      <c r="L30" s="27" t="n"/>
    </row>
    <row r="31">
      <c r="A31" s="20" t="inlineStr">
        <is>
          <t>TOTAL</t>
        </is>
      </c>
      <c r="B31" s="20">
        <f>SUM(B29:B30)</f>
        <v/>
      </c>
      <c r="C31" s="20">
        <f>SUM(C29:C30)</f>
        <v/>
      </c>
      <c r="D31" s="20">
        <f>SUM(D29:D30)</f>
        <v/>
      </c>
      <c r="E31" s="20">
        <f>SUM(E29:E30)</f>
        <v/>
      </c>
      <c r="F31" s="21">
        <f>E31/(D31*8)</f>
        <v/>
      </c>
      <c r="H31" s="26" t="n"/>
      <c r="L31" s="27" t="n"/>
    </row>
    <row r="32">
      <c r="H32" s="26" t="n"/>
      <c r="L32" s="27" t="n"/>
    </row>
    <row r="33">
      <c r="H33" s="28" t="n"/>
      <c r="I33" s="29" t="n"/>
      <c r="J33" s="29" t="n"/>
      <c r="K33" s="29" t="n"/>
      <c r="L33" s="30" t="n"/>
    </row>
  </sheetData>
  <autoFilter ref="A1:L16"/>
  <mergeCells count="10">
    <mergeCell ref="E2:E11"/>
    <mergeCell ref="A21:G21"/>
    <mergeCell ref="B2:B16"/>
    <mergeCell ref="A27:F27"/>
    <mergeCell ref="C2:C11"/>
    <mergeCell ref="D12:D16"/>
    <mergeCell ref="E12:E16"/>
    <mergeCell ref="C12:C16"/>
    <mergeCell ref="H27:L33"/>
    <mergeCell ref="D2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2" t="inlineStr">
        <is>
          <t>Level</t>
        </is>
      </c>
      <c r="B1" s="22" t="inlineStr">
        <is>
          <t>Planning Rule</t>
        </is>
      </c>
    </row>
    <row r="2">
      <c r="A2" s="6" t="inlineStr">
        <is>
          <t>Epic</t>
        </is>
      </c>
      <c r="B2" s="6" t="inlineStr">
        <is>
          <t>Keep the overall MPDA-MRT initiative.</t>
        </is>
      </c>
    </row>
    <row r="3">
      <c r="A3" s="6" t="inlineStr">
        <is>
          <t>Feature</t>
        </is>
      </c>
      <c r="B3" s="6" t="inlineStr">
        <is>
          <t>Keep the functional area such as Data Source &amp; Consumption Readiness or RADM.</t>
        </is>
      </c>
    </row>
    <row r="4">
      <c r="A4" s="6" t="inlineStr">
        <is>
          <t>Story</t>
        </is>
      </c>
      <c r="B4" s="6" t="inlineStr">
        <is>
          <t>Story gets the Story Points. Story 1 = 5 and Story 2 = 3, total = 8.</t>
        </is>
      </c>
    </row>
    <row r="5">
      <c r="A5" s="6" t="inlineStr">
        <is>
          <t>Task</t>
        </is>
      </c>
      <c r="B5" s="6" t="inlineStr">
        <is>
          <t>Story gets the Story Points. Story 1 = 8 and Story 2 = 8, giving a total sprint commitment of 16 Story Points.</t>
        </is>
      </c>
    </row>
    <row r="6">
      <c r="A6" s="6" t="inlineStr">
        <is>
          <t>Time</t>
        </is>
      </c>
      <c r="B6" s="6" t="inlineStr">
        <is>
          <t>Track planned hours/days at task level. This shows individual workload without changing Story Points.</t>
        </is>
      </c>
    </row>
    <row r="7">
      <c r="A7" s="6" t="inlineStr">
        <is>
          <t>Sprint Capacity</t>
        </is>
      </c>
      <c r="B7" s="6" t="inlineStr">
        <is>
          <t>Each person has 10 sprint days, with 8 delivery days and 2 days for meetings/ceremonies.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2026-09-25T10:37:45Z</dcterms:created>
  <dcterms:modified xmlns:dcterms="http://purl.org/dc/terms/" xmlns:xsi="http://www.w3.org/2001/XMLSchema-instance" xsi:type="dcterms:W3CDTF">2026-09-25T10:59:52Z</dcterms:modified>
</cp:coreProperties>
</file>